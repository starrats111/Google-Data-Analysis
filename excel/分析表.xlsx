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1.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<sst xmlns="http://schemas.openxmlformats.org/spreadsheetml/2006/main" count="46" uniqueCount="44">
  <si>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账号CID</t>
  </si>
  <si>
    <t>广告系列</t>
  </si>
  <si>
    <t>关键词</t>
  </si>
  <si>
    <t>点击</t>
  </si>
  <si>
    <t>费用(＄)</t>
  </si>
  <si>
    <t>CPC</t>
  </si>
  <si>
    <t>订单</t>
  </si>
  <si>
    <t>回传佣金(＄)</t>
  </si>
  <si>
    <t>保守佣金(＄)</t>
  </si>
  <si>
    <t>保守EPC</t>
  </si>
  <si>
    <t>保守ROI</t>
  </si>
  <si>
    <t>样本状态</t>
  </si>
  <si>
    <t>阶段标签(T1/T2/P1/S1/K1)</t>
  </si>
  <si>
    <t>预算错失份额</t>
  </si>
  <si>
    <t>排名错失份额</t>
  </si>
  <si>
    <t>异常类型</t>
  </si>
  <si>
    <t>处理动作</t>
  </si>
  <si>
    <t>负责人(Owner)</t>
  </si>
  <si>
    <t>展示(可选)</t>
  </si>
  <si>
    <t>CTR点击率(可选)</t>
  </si>
  <si>
    <t>质量分(可选)</t>
  </si>
  <si>
    <t>顶部展示份额Top(可选)</t>
  </si>
  <si>
    <t>执行人(可选)</t>
  </si>
  <si>
    <t>执行时间(可选)</t>
  </si>
  <si>
    <t>备注(可选)</t>
  </si>
  <si>
    <t>观察窗口(7/14/30天)(可选)</t>
  </si>
  <si>
    <t>181-CG1-uaudio-US-103-18683107</t>
  </si>
  <si>
    <t>249-CG1-coursehero-US-116-8002445</t>
  </si>
  <si>
    <t>192-CG1-virtuelabs-US-106-18686122</t>
  </si>
  <si>
    <t>221-CG1-majorfitness-US-113-18646374</t>
  </si>
  <si>
    <t>已停 1/27</t>
  </si>
  <si>
    <t>244-CG1-appyhourbox-US-116-18681515</t>
  </si>
  <si>
    <t>273-CG1-ohuhu-US-124-18647414</t>
  </si>
  <si>
    <t>275-CG1-10web-US-124-18646159</t>
  </si>
  <si>
    <t>271-CG1-uresta-CA-124-18649086</t>
  </si>
  <si>
    <t>182-CG1-highlando-US-103-18646241</t>
  </si>
  <si>
    <t>267-CG1-moonoralbeauty-US-123-8647260</t>
  </si>
  <si>
    <t>253-CG1-joyspringvitamins-DE-119-18683093</t>
  </si>
  <si>
    <t>242-CG1-worthy-US-116-18646434</t>
  </si>
  <si>
    <t>270-CG1-casetify-US-124-18686407</t>
  </si>
  <si>
    <t>274-CG1-novica-US-124-8005170</t>
  </si>
  <si>
    <t>&gt; 90%</t>
  </si>
  <si>
    <t>268-CG1-keyrealtyschool-US-123-18648217</t>
  </si>
  <si>
    <t>269-CG1-revivecollagen-US-123-18649108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</si>
</sst>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8"/>
  <sheetViews>
    <sheetView tabSelected="1" zoomScaleSheetLayoutView="60" workbookViewId="0">
      <selection activeCell="M32" sqref="M32"/>
    </sheetView>
  </sheetViews>
  <sheetFormatPr defaultColWidth="9" defaultRowHeight="13.5"/>
  <cols>
    <col min="2" max="2" width="43.625" customWidth="1"/>
    <col min="3" max="3" width="8.875" customWidth="1"/>
    <col min="6" max="6" width="9.75" customWidth="1"/>
    <col min="8" max="8" width="13.25" customWidth="1"/>
    <col min="9" max="9" width="17.75" customWidth="1"/>
    <col min="10" max="11" width="12.625"/>
    <col min="12" max="12" width="29.75" customWidth="1"/>
    <col min="13" max="13" width="13" customWidth="1"/>
    <col min="14" max="14" width="15.75" customWidth="1"/>
    <col min="15" max="15" width="16.375" customWidth="1"/>
    <col min="17" max="17" width="11.125" customWidth="1"/>
  </cols>
  <sheetData>
    <row r="1" spans="1:2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ht="15" spans="1:26">
      <c r="A2" s="1"/>
      <c r="B2" s="3" t="s">
        <v>26</v>
      </c>
      <c r="C2" s="1"/>
      <c r="D2" s="4">
        <v>2661</v>
      </c>
      <c r="E2" s="5">
        <v>145.95</v>
      </c>
      <c r="F2" s="6">
        <f>E2/D2</f>
        <v>0.054847801578354</v>
      </c>
      <c r="G2" s="7">
        <v>81</v>
      </c>
      <c r="H2" s="7">
        <v>746.88</v>
      </c>
      <c r="I2" s="6">
        <f>H2*0.72</f>
        <v>537.7536</v>
      </c>
      <c r="J2" s="8">
        <f>I2/D2</f>
        <v>0.202087034949267</v>
      </c>
      <c r="K2" s="9">
        <f>(J2-F2)/F2*100%</f>
        <v>2.68450565262076</v>
      </c>
      <c r="L2" s="2" t="str">
        <f>IF(OR(D2&gt;=500,G2&gt;=8),"结论确立",IF(OR(D2&gt;=200,G2&gt;=3),"可初判",IF(OR(D2&lt;200,G2&lt;3),"样本不足")))</f>
        <v>结论确立</v>
      </c>
      <c r="M2" s="10" t="str">
        <f>IF(D2&lt;100,"T1-试水",IF(OR(AND(J2&lt;-0.3,D2&gt;100),AND(E2&gt;100,G2=0),J2&lt;-0.5),"K1-关停",IF(OR(AND(G2&gt;=8,J2&gt;=0.2),AND(D2&gt;=500,J2&gt;=0.2)),"S1-成熟放量",IF(OR(AND(G2&gt;=3,J2&gt;=0.1),AND(D2&gt;=200,J2&gt;=0.2)),"P1-候选盈利","T2-观察"))))</f>
        <v>S1-成熟放量</v>
      </c>
      <c r="N2" s="11">
        <v>0.1704</v>
      </c>
      <c r="O2" s="11">
        <v>0.4326</v>
      </c>
      <c r="P2" s="1"/>
      <c r="Q2" s="1"/>
      <c r="R2" s="1"/>
    </row>
    <row r="3" ht="16" customHeight="1" spans="1:26">
      <c r="A3" s="1"/>
      <c r="B3" s="3" t="s">
        <v>27</v>
      </c>
      <c r="C3" s="1"/>
      <c r="D3" s="5">
        <v>690</v>
      </c>
      <c r="E3" s="5">
        <v>84.12</v>
      </c>
      <c r="F3" s="6">
        <f>E3/D3</f>
        <v>0.121913043478261</v>
      </c>
      <c r="G3" s="7">
        <v>31</v>
      </c>
      <c r="H3" s="7">
        <v>192.27</v>
      </c>
      <c r="I3" s="6">
        <f>H3*0.72</f>
        <v>138.4344</v>
      </c>
      <c r="J3" s="8">
        <f>I3/D3</f>
        <v>0.200629565217391</v>
      </c>
      <c r="K3" s="9">
        <f>(J3-F3)/F3*100%</f>
        <v>0.64567760342368</v>
      </c>
      <c r="L3" s="2" t="str">
        <f t="shared" ref="L3:L14" si="0">IF(OR(D3&gt;=500,G3&gt;=8),"结论确立",IF(OR(D3&gt;=200,G3&gt;=3),"可初判",IF(OR(D3&lt;200,G3&lt;3),"样本不足")))</f>
        <v>结论确立</v>
      </c>
      <c r="M3" s="10" t="str">
        <f t="shared" ref="M3:M14" si="1">IF(D3&lt;100,"T1-试水",IF(OR(AND(J3&lt;-0.3,D3&gt;100),AND(E3&gt;100,G3=0),J3&lt;-0.5),"K1-关停",IF(OR(AND(G3&gt;=8,J3&gt;=0.2),AND(D3&gt;=500,J3&gt;=0.2)),"S1-成熟放量",IF(OR(AND(G3&gt;=3,J3&gt;=0.1),AND(D3&gt;=200,J3&gt;=0.2)),"P1-候选盈利","T2-观察"))))</f>
        <v>S1-成熟放量</v>
      </c>
      <c r="N3" s="11">
        <v>0.1775</v>
      </c>
      <c r="O3" s="11">
        <v>0.7732</v>
      </c>
      <c r="P3" s="1"/>
      <c r="Q3" s="1"/>
      <c r="R3" s="1"/>
    </row>
    <row r="4" ht="15" spans="1:26">
      <c r="A4" s="1"/>
      <c r="B4" s="3" t="s">
        <v>28</v>
      </c>
      <c r="C4" s="1"/>
      <c r="D4" s="5">
        <v>221</v>
      </c>
      <c r="E4" s="5">
        <v>65.36</v>
      </c>
      <c r="F4" s="6">
        <f>E4/D4</f>
        <v>0.295746606334842</v>
      </c>
      <c r="G4" s="2">
        <v>19</v>
      </c>
      <c r="H4" s="7">
        <v>108.25</v>
      </c>
      <c r="I4" s="6">
        <f>H4*0.72</f>
        <v>77.94</v>
      </c>
      <c r="J4" s="8">
        <f>I4/D4</f>
        <v>0.352669683257919</v>
      </c>
      <c r="K4" s="9">
        <f>(J4-F4)/F4*100%</f>
        <v>0.192472460220318</v>
      </c>
      <c r="L4" s="2" t="str">
        <f t="shared" si="0"/>
        <v>结论确立</v>
      </c>
      <c r="M4" s="10" t="str">
        <f t="shared" si="1"/>
        <v>S1-成熟放量</v>
      </c>
      <c r="N4" s="11">
        <v>0.2315</v>
      </c>
      <c r="O4" s="11">
        <v>0.5532</v>
      </c>
      <c r="P4" s="1"/>
      <c r="Q4" s="1"/>
      <c r="R4" s="1"/>
    </row>
    <row r="5" ht="15" spans="1:26">
      <c r="A5" s="1"/>
      <c r="B5" s="3" t="s">
        <v>29</v>
      </c>
      <c r="C5" s="1"/>
      <c r="D5" s="5">
        <v>191</v>
      </c>
      <c r="E5" s="5">
        <v>51.4</v>
      </c>
      <c r="F5" s="6">
        <f>E5/D5</f>
        <v>0.269109947643979</v>
      </c>
      <c r="G5" s="7">
        <v>2</v>
      </c>
      <c r="H5" s="7">
        <v>6.82</v>
      </c>
      <c r="I5" s="6">
        <f>H5*0.72</f>
        <v>4.9104</v>
      </c>
      <c r="J5" s="8">
        <f>I5/D5</f>
        <v>0.0257089005235602</v>
      </c>
      <c r="K5" s="9">
        <f>(J5-F5)/F5*100%</f>
        <v>-0.904466926070039</v>
      </c>
      <c r="L5" s="2" t="str">
        <f t="shared" si="0"/>
        <v>样本不足</v>
      </c>
      <c r="M5" s="10" t="str">
        <f t="shared" si="1"/>
        <v>T2-观察</v>
      </c>
      <c r="N5" s="11">
        <v>0.1515</v>
      </c>
      <c r="O5" s="11">
        <v>0.5181</v>
      </c>
      <c r="P5" s="1"/>
      <c r="Q5" s="1" t="s">
        <v>30</v>
      </c>
      <c r="R5" s="1"/>
    </row>
    <row r="6" ht="15" spans="1:26">
      <c r="A6" s="1"/>
      <c r="B6" s="3" t="s">
        <v>31</v>
      </c>
      <c r="C6" s="1"/>
      <c r="D6" s="5">
        <v>182</v>
      </c>
      <c r="E6" s="5">
        <v>24.07</v>
      </c>
      <c r="F6" s="6">
        <f>E6/D6</f>
        <v>0.132252747252747</v>
      </c>
      <c r="G6" s="2">
        <v>11</v>
      </c>
      <c r="H6" s="7">
        <v>121.54</v>
      </c>
      <c r="I6" s="6">
        <f>H6*0.72</f>
        <v>87.5088</v>
      </c>
      <c r="J6" s="8">
        <f>I6/D6</f>
        <v>0.480817582417582</v>
      </c>
      <c r="K6" s="9">
        <f>(J6-F6)/F6*100%</f>
        <v>2.63559617781471</v>
      </c>
      <c r="L6" s="2" t="str">
        <f t="shared" si="0"/>
        <v>结论确立</v>
      </c>
      <c r="M6" s="10" t="str">
        <f t="shared" si="1"/>
        <v>S1-成熟放量</v>
      </c>
      <c r="N6" s="11">
        <v>0.6563</v>
      </c>
      <c r="O6" s="11">
        <v>0.2357</v>
      </c>
      <c r="P6" s="1"/>
      <c r="Q6" s="1"/>
      <c r="R6" s="1"/>
    </row>
    <row r="7" ht="15" spans="1:26">
      <c r="A7" s="1"/>
      <c r="B7" s="3" t="s">
        <v>32</v>
      </c>
      <c r="C7" s="1"/>
      <c r="D7" s="5">
        <v>103</v>
      </c>
      <c r="E7" s="5">
        <v>10.26</v>
      </c>
      <c r="F7" s="6">
        <f>E7/D7</f>
        <v>0.0996116504854369</v>
      </c>
      <c r="G7" s="7">
        <v>4</v>
      </c>
      <c r="H7" s="7">
        <v>12.8</v>
      </c>
      <c r="I7" s="6">
        <f>H7*0.72</f>
        <v>9.216</v>
      </c>
      <c r="J7" s="8">
        <f>I7/D7</f>
        <v>0.0894757281553398</v>
      </c>
      <c r="K7" s="9">
        <f>(J7-F7)/F7*100%</f>
        <v>-0.101754385964912</v>
      </c>
      <c r="L7" s="2" t="str">
        <f t="shared" si="0"/>
        <v>可初判</v>
      </c>
      <c r="M7" s="10" t="str">
        <f t="shared" si="1"/>
        <v>T2-观察</v>
      </c>
      <c r="N7" s="11">
        <v>0.8095</v>
      </c>
      <c r="O7" s="11">
        <v>0.1693</v>
      </c>
      <c r="P7" s="1"/>
      <c r="Q7" s="1"/>
      <c r="R7" s="1"/>
    </row>
    <row r="8" ht="15" spans="1:26">
      <c r="A8" s="1"/>
      <c r="B8" s="3" t="s">
        <v>33</v>
      </c>
      <c r="C8" s="1"/>
      <c r="D8" s="5">
        <v>81</v>
      </c>
      <c r="E8" s="5">
        <v>12.11</v>
      </c>
      <c r="F8" s="6">
        <f>E8/D8</f>
        <v>0.149506172839506</v>
      </c>
      <c r="G8" s="7"/>
      <c r="H8" s="7"/>
      <c r="I8" s="6"/>
      <c r="J8" s="8"/>
      <c r="K8" s="9"/>
      <c r="L8" s="2" t="str">
        <f t="shared" si="0"/>
        <v>样本不足</v>
      </c>
      <c r="M8" s="10" t="str">
        <f t="shared" si="1"/>
        <v>T1-试水</v>
      </c>
      <c r="N8" s="11">
        <v>0.563</v>
      </c>
      <c r="O8" s="11">
        <v>0.0917</v>
      </c>
      <c r="P8" s="1"/>
      <c r="Q8" s="1" t="s">
        <v>30</v>
      </c>
      <c r="R8" s="1"/>
    </row>
    <row r="9" ht="15" spans="1:26">
      <c r="A9" s="1"/>
      <c r="B9" s="3" t="s">
        <v>34</v>
      </c>
      <c r="C9" s="1"/>
      <c r="D9" s="5">
        <v>73</v>
      </c>
      <c r="E9" s="5">
        <v>13.26</v>
      </c>
      <c r="F9" s="6">
        <f>E9/D9</f>
        <v>0.181643835616438</v>
      </c>
      <c r="G9" s="7">
        <v>4</v>
      </c>
      <c r="H9" s="7">
        <v>47.4</v>
      </c>
      <c r="I9" s="6">
        <f>H9*0.72</f>
        <v>34.128</v>
      </c>
      <c r="J9" s="8">
        <f>I9/D9</f>
        <v>0.467506849315068</v>
      </c>
      <c r="K9" s="9">
        <f>(J9-F9)/F9*100%</f>
        <v>1.5737556561086</v>
      </c>
      <c r="L9" s="2" t="str">
        <f t="shared" si="0"/>
        <v>可初判</v>
      </c>
      <c r="M9" s="10" t="str">
        <f t="shared" si="1"/>
        <v>T1-试水</v>
      </c>
      <c r="N9" s="11">
        <v>0.2139</v>
      </c>
      <c r="O9" s="11">
        <v>0.5699</v>
      </c>
      <c r="P9" s="1"/>
      <c r="Q9" s="1"/>
      <c r="R9" s="1"/>
    </row>
    <row r="10" ht="15" spans="1:26">
      <c r="A10" s="1"/>
      <c r="B10" s="3" t="s">
        <v>35</v>
      </c>
      <c r="C10" s="1"/>
      <c r="D10" s="5">
        <v>67</v>
      </c>
      <c r="E10" s="5">
        <v>29.67</v>
      </c>
      <c r="F10" s="6">
        <f>E10/D10</f>
        <v>0.442835820895522</v>
      </c>
      <c r="G10" s="7">
        <v>11</v>
      </c>
      <c r="H10" s="7">
        <v>31.95</v>
      </c>
      <c r="I10" s="6">
        <f>H10*0.72</f>
        <v>23.004</v>
      </c>
      <c r="J10" s="8">
        <f>I10/D10</f>
        <v>0.34334328358209</v>
      </c>
      <c r="K10" s="9">
        <f>(J10-F10)/F10*100%</f>
        <v>-0.224671385237614</v>
      </c>
      <c r="L10" s="2" t="str">
        <f t="shared" si="0"/>
        <v>结论确立</v>
      </c>
      <c r="M10" s="10" t="str">
        <f t="shared" si="1"/>
        <v>T1-试水</v>
      </c>
      <c r="N10" s="11">
        <v>0.1021</v>
      </c>
      <c r="O10" s="11">
        <v>0.8241</v>
      </c>
      <c r="P10" s="1"/>
      <c r="Q10" s="1"/>
      <c r="R10" s="1"/>
    </row>
    <row r="11" ht="15" spans="1:26">
      <c r="A11" s="1"/>
      <c r="B11" s="3" t="s">
        <v>36</v>
      </c>
      <c r="C11" s="1"/>
      <c r="D11" s="5">
        <v>65</v>
      </c>
      <c r="E11" s="5">
        <v>14.5</v>
      </c>
      <c r="F11" s="6">
        <f>E11/D11</f>
        <v>0.223076923076923</v>
      </c>
      <c r="G11" s="7">
        <v>5</v>
      </c>
      <c r="H11" s="7">
        <v>7.15</v>
      </c>
      <c r="I11" s="6">
        <f>H11*0.72</f>
        <v>5.148</v>
      </c>
      <c r="J11" s="8">
        <f>I11/D11</f>
        <v>0.0792</v>
      </c>
      <c r="K11" s="9">
        <f>(J11-F11)/F11*100%</f>
        <v>-0.644965517241379</v>
      </c>
      <c r="L11" s="2" t="str">
        <f t="shared" si="0"/>
        <v>可初判</v>
      </c>
      <c r="M11" s="10" t="str">
        <f t="shared" si="1"/>
        <v>T1-试水</v>
      </c>
      <c r="N11" s="11">
        <v>0.0108</v>
      </c>
      <c r="O11" s="11">
        <v>0.7512</v>
      </c>
      <c r="P11" s="1"/>
      <c r="Q11" s="1"/>
      <c r="R11" s="1"/>
    </row>
    <row r="12" ht="15" spans="1:26">
      <c r="A12" s="1"/>
      <c r="B12" s="3" t="s">
        <v>37</v>
      </c>
      <c r="C12" s="1"/>
      <c r="D12" s="5">
        <v>63</v>
      </c>
      <c r="E12" s="5">
        <v>15.87</v>
      </c>
      <c r="F12" s="6">
        <f>E12/D12</f>
        <v>0.251904761904762</v>
      </c>
      <c r="G12" s="7">
        <v>5</v>
      </c>
      <c r="H12" s="7">
        <v>63.74</v>
      </c>
      <c r="I12" s="6">
        <f>H12*0.72</f>
        <v>45.8928</v>
      </c>
      <c r="J12" s="8">
        <f>I12/D12</f>
        <v>0.728457142857143</v>
      </c>
      <c r="K12" s="9">
        <f>(J12-F12)/F12*100%</f>
        <v>1.89179584120983</v>
      </c>
      <c r="L12" s="2" t="str">
        <f t="shared" si="0"/>
        <v>可初判</v>
      </c>
      <c r="M12" s="10" t="str">
        <f t="shared" si="1"/>
        <v>T1-试水</v>
      </c>
      <c r="N12" s="11">
        <v>0.051</v>
      </c>
      <c r="O12" s="11">
        <v>0.6294</v>
      </c>
      <c r="P12" s="1"/>
      <c r="Q12" s="1"/>
      <c r="R12" s="1"/>
    </row>
    <row r="13" ht="15" spans="1:26">
      <c r="A13" s="1"/>
      <c r="B13" s="3" t="s">
        <v>38</v>
      </c>
      <c r="C13" s="1"/>
      <c r="D13" s="5">
        <v>48</v>
      </c>
      <c r="E13" s="5">
        <v>12.91</v>
      </c>
      <c r="F13" s="6">
        <f>E13/D13</f>
        <v>0.268958333333333</v>
      </c>
      <c r="G13" s="7">
        <v>2</v>
      </c>
      <c r="H13" s="7">
        <v>26</v>
      </c>
      <c r="I13" s="6">
        <f>H13*0.72</f>
        <v>18.72</v>
      </c>
      <c r="J13" s="8">
        <f>I13/D13</f>
        <v>0.39</v>
      </c>
      <c r="K13" s="9">
        <f>(J13-F13)/F13*100%</f>
        <v>0.450038729666925</v>
      </c>
      <c r="L13" s="2" t="str">
        <f t="shared" si="0"/>
        <v>样本不足</v>
      </c>
      <c r="M13" s="10" t="str">
        <f t="shared" si="1"/>
        <v>T1-试水</v>
      </c>
      <c r="N13" s="11">
        <v>0.189</v>
      </c>
      <c r="O13" s="11">
        <v>0.8008</v>
      </c>
      <c r="P13" s="1"/>
      <c r="Q13" s="1"/>
      <c r="R13" s="1"/>
    </row>
    <row r="14" ht="15" spans="1:26">
      <c r="A14" s="1"/>
      <c r="B14" s="3" t="s">
        <v>39</v>
      </c>
      <c r="C14" s="1"/>
      <c r="D14" s="5">
        <v>45</v>
      </c>
      <c r="E14" s="5">
        <v>8.59</v>
      </c>
      <c r="F14" s="6">
        <f>E14/D14</f>
        <v>0.190888888888889</v>
      </c>
      <c r="G14" s="7">
        <v>1</v>
      </c>
      <c r="H14" s="7">
        <v>1.17</v>
      </c>
      <c r="I14" s="6">
        <f>H14*0.72</f>
        <v>0.8424</v>
      </c>
      <c r="J14" s="8">
        <f>I14/D14</f>
        <v>0.01872</v>
      </c>
      <c r="K14" s="9">
        <f>(J14-F14)/F14*100%</f>
        <v>-0.901932479627474</v>
      </c>
      <c r="L14" s="2" t="str">
        <f t="shared" si="0"/>
        <v>样本不足</v>
      </c>
      <c r="M14" s="10" t="str">
        <f t="shared" si="1"/>
        <v>T1-试水</v>
      </c>
      <c r="N14" s="11">
        <v>0.0562</v>
      </c>
      <c r="O14" s="11">
        <v>0.8575</v>
      </c>
      <c r="P14" s="10"/>
      <c r="Q14" s="1"/>
      <c r="R14" s="1"/>
    </row>
    <row r="15" ht="15" spans="1:26">
      <c r="A15" s="1"/>
      <c r="B15" s="3" t="s">
        <v>40</v>
      </c>
      <c r="C15" s="1"/>
      <c r="D15" s="5">
        <v>0</v>
      </c>
      <c r="E15" s="5">
        <v>0</v>
      </c>
      <c r="F15" s="6" t="str">
        <f>IFERROR(E15/D15,"0")</f>
        <v>0</v>
      </c>
      <c r="G15" s="7"/>
      <c r="H15" s="7"/>
      <c r="I15" s="6"/>
      <c r="J15" s="8"/>
      <c r="K15" s="9"/>
      <c r="L15" s="2" t="str">
        <f>IF(OR(D15&gt;=500,G15&gt;=8),"结论确立",IF(OR(D15&gt;=200,G15&gt;=3),"可初判","样本不足"))</f>
        <v>样本不足</v>
      </c>
      <c r="M15" s="10"/>
      <c r="N15" s="11">
        <v>0</v>
      </c>
      <c r="O15" s="12" t="s">
        <v>41</v>
      </c>
      <c r="P15" s="1"/>
      <c r="Q15" s="1"/>
      <c r="R15" s="1"/>
    </row>
    <row r="16" ht="15" spans="1:26">
      <c r="A16" s="1"/>
      <c r="B16" s="3" t="s">
        <v>42</v>
      </c>
      <c r="C16" s="1"/>
      <c r="D16" s="5">
        <v>0</v>
      </c>
      <c r="E16" s="5">
        <v>0</v>
      </c>
      <c r="F16" s="6" t="str">
        <f>IFERROR(E16/D16,"0")</f>
        <v>0</v>
      </c>
      <c r="G16" s="7"/>
      <c r="H16" s="7"/>
      <c r="I16" s="6"/>
      <c r="J16" s="8"/>
      <c r="K16" s="9"/>
      <c r="L16" s="2" t="str">
        <f>IF(OR(D16&gt;=500,G16&gt;=8),"结论确立",IF(OR(D16&gt;=200,G16&gt;=3),"可初判","样本不足"))</f>
        <v>样本不足</v>
      </c>
      <c r="M16" s="10"/>
      <c r="N16" s="11">
        <v>0.6433</v>
      </c>
      <c r="O16" s="11">
        <v>0.29</v>
      </c>
      <c r="P16" s="1"/>
      <c r="Q16" s="1"/>
      <c r="R16" s="1"/>
    </row>
    <row r="17" ht="15" spans="1:18">
      <c r="A17" s="1"/>
      <c r="B17" s="3" t="s">
        <v>43</v>
      </c>
      <c r="C17" s="1"/>
      <c r="D17" s="5">
        <v>0</v>
      </c>
      <c r="E17" s="5">
        <v>0</v>
      </c>
      <c r="F17" s="6" t="str">
        <f>IFERROR(E17/D17,"0")</f>
        <v>0</v>
      </c>
      <c r="G17" s="7"/>
      <c r="H17" s="7"/>
      <c r="I17" s="6"/>
      <c r="J17" s="8"/>
      <c r="K17" s="9"/>
      <c r="L17" s="2" t="str">
        <f>IF(OR(D17&gt;=500,G17&gt;=8),"结论确立",IF(OR(D17&gt;=200,G17&gt;=3),"可初判","样本不足"))</f>
        <v>样本不足</v>
      </c>
      <c r="M17" s="10"/>
      <c r="N17" s="11">
        <v>0</v>
      </c>
      <c r="O17" s="12" t="s">
        <v>41</v>
      </c>
      <c r="P17" s="1"/>
      <c r="Q17" s="1"/>
      <c r="R17" s="1"/>
    </row>
    <row r="18" ht="15" spans="1:18">
      <c r="A18" s="1"/>
      <c r="B18" s="13"/>
      <c r="C18" s="1"/>
      <c r="D18" s="14"/>
      <c r="E18" s="6"/>
      <c r="F18" s="6"/>
      <c r="G18" s="7"/>
      <c r="H18" s="7"/>
      <c r="I18" s="6"/>
      <c r="J18" s="8"/>
      <c r="K18" s="9"/>
      <c r="L18" s="2" t="str">
        <f>IF(OR(D18&gt;=500,G18&gt;=8),"结论确立",IF(OR(D18&gt;=200,G18&gt;=3),"可初判","样本不足"))</f>
        <v>样本不足</v>
      </c>
      <c r="M18" s="10"/>
      <c r="N18" s="15"/>
      <c r="O18" s="15"/>
      <c r="P18" s="1"/>
      <c r="Q18" s="1"/>
      <c r="R18" s="1"/>
    </row>
    <row r="19" ht="15" spans="1:18">
      <c r="A19" s="1"/>
      <c r="B19" s="13"/>
      <c r="C19" s="1"/>
      <c r="D19" s="14"/>
      <c r="E19" s="6"/>
      <c r="F19" s="6"/>
      <c r="G19" s="7"/>
      <c r="H19" s="7"/>
      <c r="I19" s="6"/>
      <c r="J19" s="8"/>
      <c r="K19" s="9"/>
      <c r="L19" s="2" t="str">
        <f>IF(OR(D19&gt;=500,G19&gt;=8),"结论确立",IF(OR(D19&gt;=200,G19&gt;=3),"可初判","样本不足"))</f>
        <v>样本不足</v>
      </c>
      <c r="M19" s="10"/>
      <c r="N19" s="15"/>
      <c r="O19" s="15"/>
      <c r="P19" s="1"/>
      <c r="Q19" s="1"/>
      <c r="R19" s="1"/>
    </row>
    <row r="20" ht="15" spans="1:18">
      <c r="A20" s="1"/>
      <c r="B20" s="13"/>
      <c r="C20" s="1"/>
      <c r="D20" s="14"/>
      <c r="E20" s="6"/>
      <c r="F20" s="6"/>
      <c r="G20" s="7"/>
      <c r="H20" s="7"/>
      <c r="I20" s="6"/>
      <c r="J20" s="8"/>
      <c r="K20" s="9"/>
      <c r="L20" s="2" t="str">
        <f>IF(OR(D20&gt;=500,G20&gt;=8),"结论确立",IF(OR(D20&gt;=200,G20&gt;=3),"可初判","样本不足"))</f>
        <v>样本不足</v>
      </c>
      <c r="M20" s="10"/>
      <c r="N20" s="15"/>
      <c r="O20" s="15"/>
      <c r="P20" s="1"/>
      <c r="Q20" s="1"/>
      <c r="R20" s="1"/>
    </row>
    <row r="21" ht="15" spans="1:18">
      <c r="A21" s="1"/>
      <c r="B21" s="13"/>
      <c r="C21" s="1"/>
      <c r="D21" s="14"/>
      <c r="E21" s="6"/>
      <c r="F21" s="6"/>
      <c r="G21" s="2"/>
      <c r="H21" s="7"/>
      <c r="I21" s="6"/>
      <c r="J21" s="8"/>
      <c r="K21" s="9"/>
      <c r="L21" s="2" t="str">
        <f>IF(OR(D21&gt;=500,G21&gt;=8),"结论确立",IF(OR(D21&gt;=200,G21&gt;=3),"可初判","样本不足"))</f>
        <v>样本不足</v>
      </c>
      <c r="M21" s="10"/>
      <c r="N21" s="15"/>
      <c r="O21" s="16"/>
      <c r="P21" s="1"/>
      <c r="Q21" s="1"/>
      <c r="R21" s="1"/>
    </row>
    <row r="22" ht="15" spans="1:18">
      <c r="A22" s="1"/>
      <c r="B22" s="13"/>
      <c r="C22" s="1"/>
      <c r="D22" s="14"/>
      <c r="E22" s="6"/>
      <c r="F22" s="6"/>
      <c r="G22" s="7"/>
      <c r="H22" s="7"/>
      <c r="I22" s="1"/>
      <c r="J22" s="8"/>
      <c r="K22" s="1"/>
      <c r="L22" s="2" t="str">
        <f>IF(OR(D22&gt;=500,G22&gt;=8),"结论确立",IF(OR(D22&gt;=200,G22&gt;=3),"可初判","样本不足"))</f>
        <v>样本不足</v>
      </c>
      <c r="M22" s="1"/>
      <c r="N22" s="15"/>
      <c r="O22" s="15"/>
      <c r="P22" s="1"/>
      <c r="Q22" s="1"/>
      <c r="R22" s="1"/>
    </row>
    <row r="23" ht="15" spans="1:18">
      <c r="A23" s="1"/>
      <c r="B23" s="13"/>
      <c r="C23" s="1"/>
      <c r="D23" s="14"/>
      <c r="E23" s="6"/>
      <c r="F23" s="6"/>
      <c r="G23" s="2"/>
      <c r="H23" s="7"/>
      <c r="I23" s="1"/>
      <c r="J23" s="1"/>
      <c r="K23" s="1"/>
      <c r="L23" s="2" t="str">
        <f>IF(OR(D23&gt;=500,G23&gt;=8),"结论确立",IF(OR(D23&gt;=200,G23&gt;=3),"可初判","样本不足"))</f>
        <v>样本不足</v>
      </c>
      <c r="M23" s="1"/>
      <c r="N23" s="15"/>
      <c r="O23" s="16"/>
      <c r="P23" s="1"/>
      <c r="Q23" s="1"/>
      <c r="R23" s="1"/>
    </row>
    <row r="24" ht="15" spans="1:18">
      <c r="A24" s="1"/>
      <c r="B24" s="13"/>
      <c r="C24" s="1"/>
      <c r="D24" s="14"/>
      <c r="E24" s="6"/>
      <c r="F24" s="6"/>
      <c r="G24" s="2"/>
      <c r="H24" s="7"/>
      <c r="I24" s="1"/>
      <c r="J24" s="1"/>
      <c r="K24" s="1"/>
      <c r="L24" s="2" t="str">
        <f>IF(OR(D24&gt;=500,G24&gt;=8),"结论确立",IF(OR(D24&gt;=200,G24&gt;=3),"可初判","样本不足"))</f>
        <v>样本不足</v>
      </c>
      <c r="M24" s="1"/>
      <c r="N24" s="15"/>
      <c r="O24" s="16"/>
      <c r="P24" s="1"/>
      <c r="Q24" s="1"/>
      <c r="R24" s="1"/>
    </row>
    <row r="25" spans="1:18">
      <c r="A25" s="1"/>
      <c r="B25" s="1"/>
      <c r="C25" s="1"/>
      <c r="D25" s="1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</sheetData>
  <sortState ref="A2:Z128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团茶</cp:lastModifiedBy>
  <dcterms:created xsi:type="dcterms:W3CDTF">2026-01-26T06:18:00Z</dcterms:created>
  <dcterms:modified xsi:type="dcterms:W3CDTF">2026-01-27T05:36:47Z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8030671CB5DC43D9AE27A3B34AC5F0FA_13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