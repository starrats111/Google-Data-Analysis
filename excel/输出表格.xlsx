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20" windowHeight="8145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0" hidden="1">Sheet2!$A$1:$M$17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<sst xmlns="http://schemas.openxmlformats.org/spreadsheetml/2006/main" count="46" uniqueCount="30">
  <si>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广告系列名</t>
  </si>
  <si>
    <t>预算</t>
  </si>
  <si>
    <r>
      <t>L7D</t>
    </r>
    <r>
      <rPr>
        <b/>
        <sz val="12"/>
        <color rgb="FF1F1F1F"/>
        <rFont val="宋体"/>
        <charset val="0"/>
      </rPr>
      <t>点击</t>
    </r>
  </si>
  <si>
    <r>
      <t>L7D</t>
    </r>
    <r>
      <rPr>
        <b/>
        <sz val="12"/>
        <color rgb="FF1F1F1F"/>
        <rFont val="宋体"/>
        <charset val="0"/>
      </rPr>
      <t>佣金</t>
    </r>
  </si>
  <si>
    <r>
      <t>L7D</t>
    </r>
    <r>
      <rPr>
        <b/>
        <sz val="12"/>
        <color rgb="FF1F1F1F"/>
        <rFont val="宋体"/>
        <charset val="0"/>
      </rPr>
      <t>花费</t>
    </r>
  </si>
  <si>
    <r>
      <t>L7D</t>
    </r>
    <r>
      <rPr>
        <b/>
        <sz val="12"/>
        <color rgb="FF1F1F1F"/>
        <rFont val="宋体"/>
        <charset val="0"/>
      </rPr>
      <t>出单天数</t>
    </r>
  </si>
  <si>
    <r>
      <t>当前</t>
    </r>
    <r>
      <rPr>
        <b/>
        <sz val="12"/>
        <color rgb="FF1F1F1F"/>
        <rFont val="Arial"/>
        <charset val="134"/>
      </rPr>
      <t>Max CPC</t>
    </r>
  </si>
  <si>
    <r>
      <t>IS Budget</t>
    </r>
    <r>
      <rPr>
        <b/>
        <sz val="12"/>
        <color rgb="FF1F1F1F"/>
        <rFont val="宋体"/>
        <charset val="0"/>
      </rPr>
      <t>丢失</t>
    </r>
  </si>
  <si>
    <r>
      <rPr>
        <b/>
        <sz val="12"/>
        <color rgb="FF1F1F1F"/>
        <rFont val="Arial"/>
        <charset val="0"/>
      </rPr>
      <t>IS Rank</t>
    </r>
    <r>
      <rPr>
        <b/>
        <sz val="12"/>
        <color rgb="FF1F1F1F"/>
        <rFont val="宋体"/>
        <charset val="134"/>
      </rPr>
      <t>丢失</t>
    </r>
  </si>
  <si>
    <r>
      <rPr>
        <b/>
        <sz val="12"/>
        <color rgb="FF1F1F1F"/>
        <rFont val="宋体"/>
        <charset val="134"/>
      </rPr>
      <t>保守</t>
    </r>
    <r>
      <rPr>
        <b/>
        <sz val="12"/>
        <color rgb="FF1F1F1F"/>
        <rFont val="Arial"/>
        <charset val="0"/>
      </rPr>
      <t>EPC</t>
    </r>
  </si>
  <si>
    <r>
      <rPr>
        <b/>
        <sz val="12"/>
        <color rgb="FF1F1F1F"/>
        <rFont val="宋体"/>
        <charset val="134"/>
      </rPr>
      <t>保守</t>
    </r>
    <r>
      <rPr>
        <b/>
        <sz val="12"/>
        <color rgb="FF1F1F1F"/>
        <rFont val="Arial"/>
        <charset val="0"/>
      </rPr>
      <t>ROI</t>
    </r>
  </si>
  <si>
    <t>操作指令</t>
  </si>
  <si>
    <t>MID</t>
  </si>
  <si>
    <t>171-PM1-altinadrinks-AU-0125-80264</t>
  </si>
  <si>
    <t>168-PM1-sanatoriums-US-0120-53855</t>
  </si>
  <si>
    <t>178-PM1-originmattress-HK-0125-103067</t>
  </si>
  <si>
    <t>065-PM1-dagsmejan-DE-1218-111577</t>
  </si>
  <si>
    <t>179-PM1-thebodyshop-AU-0127-18680922</t>
  </si>
  <si>
    <t>143-PM1-electronicsexpo-US-0109-18645439</t>
  </si>
  <si>
    <t>135-PM1-coppel-MX-1230-107283</t>
  </si>
  <si>
    <t>094-PM1-mackweldon-US-1223-128415</t>
  </si>
  <si>
    <t>051-PM1-laithwaites-GB-1216-65069</t>
  </si>
  <si>
    <t>118-PM1-weekendesk-FR-0115-18645318</t>
  </si>
  <si>
    <t>165-PM1-cropshopboutique-US-0120-71288</t>
  </si>
  <si>
    <t>122-PM1-eddiebauer-US-0115-109839</t>
  </si>
  <si>
    <t>169-PM1-hfonline-GB-0123-123194</t>
  </si>
  <si>
    <t>072-PM1-eazy-DE-1218-18658152</t>
  </si>
  <si>
    <t>076-PM1-ursamajorvt-US-1219-18679165</t>
  </si>
  <si>
    <t>084-PM1-krigler-US-1219-18681160</t>
  </si>
  <si>
    <t>123-PM1-coldwatercreek-US-1212-18647994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</si>
</sst>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1F1F1F"/>
      <name val="宋体"/>
      <charset val="134"/>
    </font>
    <font>
      <b/>
      <sz val="12"/>
      <color rgb="FF1F1F1F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1F1F1F"/>
      <name val="宋体"/>
      <charset val="0"/>
    </font>
    <font>
      <b/>
      <sz val="12"/>
      <color rgb="FF1F1F1F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Alignment="1"/>
    <xf numFmtId="0" fontId="2" fillId="2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Border="1" applyAlignment="1"/>
    <xf numFmtId="0" fontId="0" fillId="0" borderId="0" xfId="0" applyFill="1" applyBorder="1" applyAlignment="1">
      <alignment vertical="center" wrapText="1"/>
    </xf>
    <xf numFmtId="10" fontId="1" fillId="0" borderId="0" xfId="0" applyNumberFormat="1" applyFont="1" applyFill="1" applyBorder="1" applyAlignment="1"/>
    <xf numFmtId="176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700;&#38754;\&#24494;&#20449;%20&#19979;&#36733;\xwechat_files\wxid_whk0joudt0ye22_3305\msg\file\2026-01\&#27599;&#21608;135&#32479;&#35745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3"/>
    </sheetNames>
    <sheetDataSet>
      <sheetData sheetId="0"/>
      <sheetData sheetId="1">
        <row r="1">
          <cell r="A1" t="str">
            <v>MID</v>
          </cell>
          <cell r="B1" t="str">
            <v>Brand Name</v>
          </cell>
          <cell r="C1" t="str">
            <v>Est. Commission($)</v>
          </cell>
        </row>
        <row r="2">
          <cell r="A2">
            <v>107283</v>
          </cell>
          <cell r="B2" t="str">
            <v>Coppel MX</v>
          </cell>
          <cell r="C2">
            <v>533.49</v>
          </cell>
        </row>
        <row r="3">
          <cell r="A3">
            <v>18645439</v>
          </cell>
          <cell r="B3" t="str">
            <v>Electronics Expo</v>
          </cell>
          <cell r="C3">
            <v>213.57</v>
          </cell>
        </row>
        <row r="4">
          <cell r="A4">
            <v>18681160</v>
          </cell>
          <cell r="B4" t="str">
            <v>KRIGLER</v>
          </cell>
          <cell r="C4">
            <v>186.89</v>
          </cell>
        </row>
        <row r="5">
          <cell r="A5">
            <v>18679165</v>
          </cell>
          <cell r="B5" t="str">
            <v>Ursa Major</v>
          </cell>
          <cell r="C5">
            <v>170.89</v>
          </cell>
        </row>
        <row r="6">
          <cell r="A6">
            <v>65069</v>
          </cell>
          <cell r="B6" t="str">
            <v>Laithwaite's UK</v>
          </cell>
          <cell r="C6">
            <v>132.93</v>
          </cell>
        </row>
        <row r="7">
          <cell r="A7">
            <v>18645318</v>
          </cell>
          <cell r="B7" t="str">
            <v>weekendesk FR</v>
          </cell>
          <cell r="C7">
            <v>129.42</v>
          </cell>
        </row>
        <row r="8">
          <cell r="A8">
            <v>113262</v>
          </cell>
          <cell r="B8" t="str">
            <v>Isabel Marant (INT)</v>
          </cell>
          <cell r="C8">
            <v>101.67</v>
          </cell>
        </row>
        <row r="9">
          <cell r="A9">
            <v>71288</v>
          </cell>
          <cell r="B9" t="str">
            <v>Crop Shop Boutique US</v>
          </cell>
          <cell r="C9">
            <v>96.2</v>
          </cell>
        </row>
        <row r="10">
          <cell r="A10">
            <v>18658152</v>
          </cell>
          <cell r="B10" t="str">
            <v>eazy</v>
          </cell>
          <cell r="C10">
            <v>80.59</v>
          </cell>
        </row>
        <row r="11">
          <cell r="A11">
            <v>112996</v>
          </cell>
          <cell r="B11" t="str">
            <v>Casper</v>
          </cell>
          <cell r="C11">
            <v>79.96</v>
          </cell>
        </row>
        <row r="12">
          <cell r="A12">
            <v>123194</v>
          </cell>
          <cell r="B12" t="str">
            <v>Academy for Health &amp;amp; Fitness</v>
          </cell>
          <cell r="C12">
            <v>75.65</v>
          </cell>
        </row>
        <row r="13">
          <cell r="A13">
            <v>109839</v>
          </cell>
          <cell r="B13" t="str">
            <v>Eddie Bauer</v>
          </cell>
          <cell r="C13">
            <v>75.38</v>
          </cell>
        </row>
        <row r="14">
          <cell r="A14">
            <v>128415</v>
          </cell>
          <cell r="B14" t="str">
            <v>Mack Weldon</v>
          </cell>
          <cell r="C14">
            <v>55.89</v>
          </cell>
        </row>
        <row r="15">
          <cell r="A15">
            <v>122446</v>
          </cell>
          <cell r="B15" t="str">
            <v>bofrost DE</v>
          </cell>
          <cell r="C15">
            <v>33.07</v>
          </cell>
        </row>
        <row r="16">
          <cell r="A16">
            <v>53476</v>
          </cell>
          <cell r="B16" t="str">
            <v>The STRAT Hotel</v>
          </cell>
          <cell r="C16">
            <v>28.2</v>
          </cell>
        </row>
        <row r="17">
          <cell r="A17">
            <v>111577</v>
          </cell>
          <cell r="B17" t="str">
            <v>Dagsmejan</v>
          </cell>
          <cell r="C17">
            <v>24.14</v>
          </cell>
        </row>
        <row r="18">
          <cell r="A18">
            <v>18653969</v>
          </cell>
          <cell r="B18" t="str">
            <v>Uresta</v>
          </cell>
          <cell r="C18">
            <v>9.17</v>
          </cell>
        </row>
        <row r="19">
          <cell r="A19">
            <v>18669958</v>
          </cell>
          <cell r="B19" t="str">
            <v>JAKO Benelux</v>
          </cell>
          <cell r="C19">
            <v>8.99</v>
          </cell>
        </row>
        <row r="20">
          <cell r="A20">
            <v>18655840</v>
          </cell>
          <cell r="B20" t="str">
            <v>Pakolorente.com</v>
          </cell>
          <cell r="C20">
            <v>7.94</v>
          </cell>
        </row>
        <row r="21">
          <cell r="A21">
            <v>109991</v>
          </cell>
          <cell r="B21" t="str">
            <v>Guess Factory</v>
          </cell>
          <cell r="C21">
            <v>6.76</v>
          </cell>
        </row>
        <row r="22">
          <cell r="A22">
            <v>65457</v>
          </cell>
          <cell r="B22" t="str">
            <v>Star Stable [CPP] Many GEOs</v>
          </cell>
          <cell r="C22">
            <v>4.27</v>
          </cell>
        </row>
        <row r="23">
          <cell r="A23">
            <v>18680922</v>
          </cell>
          <cell r="B23" t="str">
            <v>The Body Shop</v>
          </cell>
          <cell r="C23">
            <v>2.02</v>
          </cell>
        </row>
        <row r="24">
          <cell r="A24">
            <v>75628</v>
          </cell>
          <cell r="B24" t="str">
            <v>iBOOD NL</v>
          </cell>
          <cell r="C24">
            <v>1.56</v>
          </cell>
        </row>
        <row r="25">
          <cell r="A25">
            <v>110565</v>
          </cell>
          <cell r="B25" t="str">
            <v>FlutterHabit</v>
          </cell>
          <cell r="C25">
            <v>1.31</v>
          </cell>
        </row>
        <row r="26">
          <cell r="A26">
            <v>111663</v>
          </cell>
          <cell r="B26" t="str">
            <v>HEXIM Dekore &amp; Design</v>
          </cell>
          <cell r="C26">
            <v>0.4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topLeftCell="B1" workbookViewId="0">
      <selection activeCell="E21" sqref="E21"/>
    </sheetView>
  </sheetViews>
  <sheetFormatPr defaultColWidth="9" defaultRowHeight="16.5" customHeight="1"/>
  <cols>
    <col min="1" max="1" width="37.125" style="4" customWidth="1"/>
    <col min="2" max="2" width="12.375" style="5" customWidth="1"/>
    <col min="3" max="3" width="9.375" style="4" customWidth="1"/>
    <col min="4" max="4" width="10" style="4" customWidth="1"/>
    <col min="5" max="5" width="10.375" style="4" customWidth="1"/>
    <col min="6" max="6" width="13.625" style="4" customWidth="1"/>
    <col min="7" max="7" width="15.125" style="4" customWidth="1"/>
    <col min="8" max="8" width="15.5" style="4" customWidth="1"/>
    <col min="9" max="9" width="14.25" style="4" customWidth="1"/>
    <col min="10" max="10" width="12.5" style="4" customWidth="1"/>
    <col min="11" max="11" width="17.375" style="4" customWidth="1"/>
    <col min="12" max="12" width="24.625" style="4" customWidth="1"/>
    <col min="13" max="13" width="9.375" style="4"/>
    <col min="14" max="16384" width="9" style="4"/>
  </cols>
  <sheetData>
    <row r="1" s="3" customFormat="1" customHeight="1" spans="1:13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6" t="s">
        <v>6</v>
      </c>
      <c r="H1" s="8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3" t="s">
        <v>12</v>
      </c>
    </row>
    <row r="2" customHeight="1" spans="1:13">
      <c r="A2" s="9" t="s">
        <v>13</v>
      </c>
      <c r="B2" s="10">
        <f>IFERROR(VLOOKUP(A2,Sheet1!$A$1:$B$17,2,FALSE),0)</f>
        <v>7.15</v>
      </c>
      <c r="C2" s="11">
        <v>107</v>
      </c>
      <c r="D2" s="12">
        <f>IFERROR(VLOOKUP(M2,[1]Sheet3!$A$1:$C$26,3,FALSE),0)</f>
        <v>0</v>
      </c>
      <c r="E2" s="11">
        <v>19</v>
      </c>
      <c r="F2" s="4">
        <v>0</v>
      </c>
      <c r="G2" s="4">
        <v>0.29</v>
      </c>
      <c r="H2" s="13">
        <v>0.3223</v>
      </c>
      <c r="I2" s="13">
        <v>0.2973</v>
      </c>
      <c r="J2" s="14">
        <f t="shared" ref="J2:J17" si="0">D2*0.72/C2</f>
        <v>0</v>
      </c>
      <c r="K2" s="14">
        <f t="shared" ref="K2:K17" si="1">(D2*0.72-E2)/E2</f>
        <v>-1</v>
      </c>
      <c r="L2" s="12" t="str">
        <f t="shared" ref="L2:L17" si="2">IF(K2&lt;-0.4,"🛑 立即关停(PAUSE)",IF(K2&lt;0,"⚠️ CPC降价0.05",IF(AND(K2&gt;3,H2&gt;0.2,F2&gt;=4),"💰 预算*1.3 (稳健加产)",IF(AND(K2&gt;2,I2&gt;0.15,G2&lt;(J2*0.8)),"📈 CPC+0.02 (抢占排名)",IF(K2&gt;=1,"✅ 状态稳定-维持现状","☕ 样本不足-继续观察")))))</f>
        <v>🛑 立即关停(PAUSE)</v>
      </c>
      <c r="M2" s="4">
        <v>80264</v>
      </c>
    </row>
    <row r="3" customHeight="1" spans="1:13">
      <c r="A3" s="9" t="s">
        <v>14</v>
      </c>
      <c r="B3" s="10">
        <f>IFERROR(VLOOKUP(A3,Sheet1!$A$1:$B$17,2,FALSE),0)</f>
        <v>8</v>
      </c>
      <c r="C3" s="11">
        <v>57</v>
      </c>
      <c r="D3" s="12">
        <f>IFERROR(VLOOKUP(M3,[1]Sheet3!$A$1:$C$26,3,FALSE),0)</f>
        <v>0</v>
      </c>
      <c r="E3" s="11">
        <v>11.87</v>
      </c>
      <c r="F3" s="4">
        <v>0</v>
      </c>
      <c r="G3" s="4">
        <v>0.31</v>
      </c>
      <c r="H3" s="13">
        <v>0.0019</v>
      </c>
      <c r="I3" s="13">
        <v>0.8072</v>
      </c>
      <c r="J3" s="14">
        <f t="shared" si="0"/>
        <v>0</v>
      </c>
      <c r="K3" s="14">
        <f t="shared" si="1"/>
        <v>-1</v>
      </c>
      <c r="L3" s="12" t="str">
        <f t="shared" si="2"/>
        <v>🛑 立即关停(PAUSE)</v>
      </c>
      <c r="M3" s="15">
        <v>53855</v>
      </c>
    </row>
    <row r="4" customHeight="1" spans="1:13">
      <c r="A4" s="9" t="s">
        <v>15</v>
      </c>
      <c r="B4" s="10">
        <f>IFERROR(VLOOKUP(A4,Sheet1!$A$1:$B$17,2,FALSE),0)</f>
        <v>7.69</v>
      </c>
      <c r="C4" s="11">
        <v>4</v>
      </c>
      <c r="D4" s="12">
        <f>IFERROR(VLOOKUP(M4,[1]Sheet3!$A$1:$C$26,3,FALSE),0)</f>
        <v>0</v>
      </c>
      <c r="E4" s="11">
        <v>0.37</v>
      </c>
      <c r="F4" s="4">
        <v>0</v>
      </c>
      <c r="G4" s="4">
        <v>0.15</v>
      </c>
      <c r="H4" s="13">
        <v>0.033</v>
      </c>
      <c r="I4" s="13">
        <v>0.8799</v>
      </c>
      <c r="J4" s="14">
        <f t="shared" si="0"/>
        <v>0</v>
      </c>
      <c r="K4" s="14">
        <f t="shared" si="1"/>
        <v>-1</v>
      </c>
      <c r="L4" s="12" t="str">
        <f t="shared" si="2"/>
        <v>🛑 立即关停(PAUSE)</v>
      </c>
      <c r="M4" s="15">
        <v>103067</v>
      </c>
    </row>
    <row r="5" customHeight="1" spans="1:13">
      <c r="A5" s="9" t="s">
        <v>16</v>
      </c>
      <c r="B5" s="10">
        <f>IFERROR(VLOOKUP(A5,Sheet1!$A$1:$B$17,2,FALSE),0)</f>
        <v>4.5</v>
      </c>
      <c r="C5" s="11">
        <v>131</v>
      </c>
      <c r="D5" s="12">
        <f>IFERROR(VLOOKUP(M5,[1]Sheet3!$A$1:$C$26,3,FALSE),0)</f>
        <v>24.14</v>
      </c>
      <c r="E5" s="11">
        <v>35.83</v>
      </c>
      <c r="F5" s="4">
        <v>3</v>
      </c>
      <c r="G5" s="4">
        <v>0.39</v>
      </c>
      <c r="H5" s="13">
        <v>0.0181</v>
      </c>
      <c r="I5" s="13">
        <v>0.2197</v>
      </c>
      <c r="J5" s="14">
        <f t="shared" si="0"/>
        <v>0.13267786259542</v>
      </c>
      <c r="K5" s="14">
        <f t="shared" si="1"/>
        <v>-0.514909293887803</v>
      </c>
      <c r="L5" s="12" t="str">
        <f t="shared" si="2"/>
        <v>🛑 立即关停(PAUSE)</v>
      </c>
      <c r="M5" s="15">
        <v>111577</v>
      </c>
    </row>
    <row r="6" customHeight="1" spans="1:13">
      <c r="A6" s="9" t="s">
        <v>17</v>
      </c>
      <c r="B6" s="10">
        <f>IFERROR(VLOOKUP(A6,Sheet1!$A$1:$B$17,2,FALSE),0)</f>
        <v>4</v>
      </c>
      <c r="C6" s="11">
        <v>124</v>
      </c>
      <c r="D6" s="12">
        <f>IFERROR(VLOOKUP(M6,[1]Sheet3!$A$1:$C$26,3,FALSE),0)</f>
        <v>2.02</v>
      </c>
      <c r="E6" s="11">
        <v>4.1</v>
      </c>
      <c r="F6" s="4">
        <v>1</v>
      </c>
      <c r="G6" s="4">
        <v>0.05</v>
      </c>
      <c r="H6" s="13">
        <v>0.8945</v>
      </c>
      <c r="I6" s="13">
        <v>0.0091</v>
      </c>
      <c r="J6" s="14">
        <f t="shared" si="0"/>
        <v>0.0117290322580645</v>
      </c>
      <c r="K6" s="14">
        <f t="shared" si="1"/>
        <v>-0.645268292682927</v>
      </c>
      <c r="L6" s="12" t="str">
        <f t="shared" si="2"/>
        <v>🛑 立即关停(PAUSE)</v>
      </c>
      <c r="M6" s="15">
        <v>18680922</v>
      </c>
    </row>
    <row r="7" customHeight="1" spans="1:13">
      <c r="A7" s="9" t="s">
        <v>18</v>
      </c>
      <c r="B7" s="10">
        <f>IFERROR(VLOOKUP(A7,Sheet1!$A$1:$B$17,2,FALSE),0)</f>
        <v>7.3</v>
      </c>
      <c r="C7" s="11">
        <v>191</v>
      </c>
      <c r="D7" s="12">
        <f>IFERROR(VLOOKUP(M7,[1]Sheet3!$A$1:$C$26,3,FALSE),0)</f>
        <v>213.57</v>
      </c>
      <c r="E7" s="11">
        <v>50.28</v>
      </c>
      <c r="F7" s="4">
        <v>4</v>
      </c>
      <c r="G7" s="4">
        <v>0.4</v>
      </c>
      <c r="H7" s="13">
        <v>0.1928</v>
      </c>
      <c r="I7" s="13">
        <v>0.6464</v>
      </c>
      <c r="J7" s="14">
        <f t="shared" si="0"/>
        <v>0.805080628272251</v>
      </c>
      <c r="K7" s="14">
        <f t="shared" si="1"/>
        <v>2.05828162291169</v>
      </c>
      <c r="L7" s="12" t="str">
        <f t="shared" si="2"/>
        <v>📈 CPC+0.02 (抢占排名)</v>
      </c>
      <c r="M7" s="15">
        <v>18645439</v>
      </c>
    </row>
    <row r="8" customHeight="1" spans="1:13">
      <c r="A8" s="9" t="s">
        <v>19</v>
      </c>
      <c r="B8" s="10">
        <f>IFERROR(VLOOKUP(A8,Sheet1!$A$1:$B$17,2,FALSE),0)</f>
        <v>20</v>
      </c>
      <c r="C8" s="11">
        <v>11754</v>
      </c>
      <c r="D8" s="12">
        <f>IFERROR(VLOOKUP(M8,[1]Sheet3!$A$1:$C$26,3,FALSE),0)</f>
        <v>533.49</v>
      </c>
      <c r="E8" s="11">
        <v>69.49</v>
      </c>
      <c r="F8" s="4">
        <v>7</v>
      </c>
      <c r="G8" s="4">
        <v>0.01</v>
      </c>
      <c r="H8" s="13">
        <v>0.8279</v>
      </c>
      <c r="I8" s="13">
        <v>0.1194</v>
      </c>
      <c r="J8" s="14">
        <f t="shared" si="0"/>
        <v>0.03267932618683</v>
      </c>
      <c r="K8" s="14">
        <f t="shared" si="1"/>
        <v>4.52759821557059</v>
      </c>
      <c r="L8" s="12" t="str">
        <f t="shared" si="2"/>
        <v>💰 预算*1.3 (稳健加产)</v>
      </c>
      <c r="M8" s="15">
        <v>107283</v>
      </c>
    </row>
    <row r="9" customHeight="1" spans="1:13">
      <c r="A9" s="9" t="s">
        <v>20</v>
      </c>
      <c r="B9" s="10">
        <f>IFERROR(VLOOKUP(A9,Sheet1!$A$1:$B$17,2,FALSE),0)</f>
        <v>8.5</v>
      </c>
      <c r="C9" s="11">
        <v>230</v>
      </c>
      <c r="D9" s="12">
        <f>IFERROR(VLOOKUP(M9,[1]Sheet3!$A$1:$C$26,3,FALSE),0)</f>
        <v>55.89</v>
      </c>
      <c r="E9" s="11">
        <v>61.4</v>
      </c>
      <c r="F9" s="4">
        <v>7</v>
      </c>
      <c r="G9" s="4">
        <v>0.42</v>
      </c>
      <c r="H9" s="13">
        <v>0.2216</v>
      </c>
      <c r="I9" s="13">
        <v>0.7261</v>
      </c>
      <c r="J9" s="14">
        <f t="shared" si="0"/>
        <v>0.17496</v>
      </c>
      <c r="K9" s="14">
        <f t="shared" si="1"/>
        <v>-0.344612377850163</v>
      </c>
      <c r="L9" s="12" t="str">
        <f t="shared" si="2"/>
        <v>⚠️ CPC降价0.05</v>
      </c>
      <c r="M9" s="15">
        <v>128415</v>
      </c>
    </row>
    <row r="10" customHeight="1" spans="1:13">
      <c r="A10" s="9" t="s">
        <v>21</v>
      </c>
      <c r="B10" s="10">
        <f>IFERROR(VLOOKUP(A10,Sheet1!$A$1:$B$17,2,FALSE),0)</f>
        <v>9.67</v>
      </c>
      <c r="C10" s="11">
        <v>1239</v>
      </c>
      <c r="D10" s="12">
        <f>IFERROR(VLOOKUP(M10,[1]Sheet3!$A$1:$C$26,3,FALSE),0)</f>
        <v>132.93</v>
      </c>
      <c r="E10" s="11">
        <v>54.52</v>
      </c>
      <c r="F10" s="4">
        <v>7</v>
      </c>
      <c r="G10" s="4">
        <v>0.06</v>
      </c>
      <c r="H10" s="13">
        <v>0.5171</v>
      </c>
      <c r="I10" s="13">
        <v>0.2445</v>
      </c>
      <c r="J10" s="14">
        <f t="shared" si="0"/>
        <v>0.0772474576271186</v>
      </c>
      <c r="K10" s="14">
        <f t="shared" si="1"/>
        <v>0.75549523110785</v>
      </c>
      <c r="L10" s="12" t="str">
        <f t="shared" si="2"/>
        <v>☕ 样本不足-继续观察</v>
      </c>
      <c r="M10" s="15">
        <v>65069</v>
      </c>
    </row>
    <row r="11" customHeight="1" spans="1:13">
      <c r="A11" s="9" t="s">
        <v>22</v>
      </c>
      <c r="B11" s="10">
        <f>IFERROR(VLOOKUP(A11,Sheet1!$A$1:$B$17,2,FALSE),0)</f>
        <v>8</v>
      </c>
      <c r="C11" s="11">
        <v>518</v>
      </c>
      <c r="D11" s="12">
        <f>IFERROR(VLOOKUP(M11,[1]Sheet3!$A$1:$C$26,3,FALSE),0)</f>
        <v>129.42</v>
      </c>
      <c r="E11" s="11">
        <v>55.32</v>
      </c>
      <c r="F11" s="4">
        <v>6</v>
      </c>
      <c r="G11" s="4">
        <v>0.01</v>
      </c>
      <c r="H11" s="13">
        <v>0.1258</v>
      </c>
      <c r="I11" s="13">
        <v>0.8425</v>
      </c>
      <c r="J11" s="14">
        <f t="shared" si="0"/>
        <v>0.179888803088803</v>
      </c>
      <c r="K11" s="14">
        <f t="shared" si="1"/>
        <v>0.684425162689805</v>
      </c>
      <c r="L11" s="12" t="str">
        <f t="shared" si="2"/>
        <v>☕ 样本不足-继续观察</v>
      </c>
      <c r="M11" s="15">
        <v>18645318</v>
      </c>
    </row>
    <row r="12" customHeight="1" spans="1:13">
      <c r="A12" s="9" t="s">
        <v>23</v>
      </c>
      <c r="B12" s="10">
        <f>IFERROR(VLOOKUP(A12,Sheet1!$A$1:$B$17,2,FALSE),0)</f>
        <v>8</v>
      </c>
      <c r="C12" s="11">
        <v>1101</v>
      </c>
      <c r="D12" s="12">
        <f>IFERROR(VLOOKUP(M12,[1]Sheet3!$A$1:$C$26,3,FALSE),0)</f>
        <v>96.2</v>
      </c>
      <c r="E12" s="11">
        <v>50.44</v>
      </c>
      <c r="F12" s="4">
        <v>7</v>
      </c>
      <c r="G12" s="4">
        <v>0.08</v>
      </c>
      <c r="H12" s="13">
        <v>0.5483</v>
      </c>
      <c r="I12" s="13">
        <v>0.2499</v>
      </c>
      <c r="J12" s="14">
        <f t="shared" si="0"/>
        <v>0.0629100817438692</v>
      </c>
      <c r="K12" s="14">
        <f t="shared" si="1"/>
        <v>0.37319587628866</v>
      </c>
      <c r="L12" s="12" t="str">
        <f t="shared" si="2"/>
        <v>☕ 样本不足-继续观察</v>
      </c>
      <c r="M12" s="15">
        <v>71288</v>
      </c>
    </row>
    <row r="13" customHeight="1" spans="1:13">
      <c r="A13" s="9" t="s">
        <v>24</v>
      </c>
      <c r="B13" s="10">
        <f>IFERROR(VLOOKUP(A13,Sheet1!$A$1:$B$17,2,FALSE),0)</f>
        <v>8.5</v>
      </c>
      <c r="C13" s="11">
        <v>1049</v>
      </c>
      <c r="D13" s="12">
        <f>IFERROR(VLOOKUP(M13,[1]Sheet3!$A$1:$C$26,3,FALSE),0)</f>
        <v>75.38</v>
      </c>
      <c r="E13" s="11">
        <v>54.21</v>
      </c>
      <c r="F13" s="4">
        <v>7</v>
      </c>
      <c r="G13" s="4">
        <v>0.08</v>
      </c>
      <c r="H13" s="13">
        <v>0.1696</v>
      </c>
      <c r="I13" s="13">
        <v>0.8159</v>
      </c>
      <c r="J13" s="14">
        <f t="shared" si="0"/>
        <v>0.0517384175405148</v>
      </c>
      <c r="K13" s="14">
        <f t="shared" si="1"/>
        <v>0.00117321527393459</v>
      </c>
      <c r="L13" s="12" t="str">
        <f t="shared" si="2"/>
        <v>☕ 样本不足-继续观察</v>
      </c>
      <c r="M13" s="15">
        <v>109839</v>
      </c>
    </row>
    <row r="14" customHeight="1" spans="1:13">
      <c r="A14" s="9" t="s">
        <v>25</v>
      </c>
      <c r="B14" s="10">
        <f>IFERROR(VLOOKUP(A14,Sheet1!$A$1:$B$17,2,FALSE),0)</f>
        <v>8</v>
      </c>
      <c r="C14" s="11">
        <v>280</v>
      </c>
      <c r="D14" s="12">
        <f>IFERROR(VLOOKUP(M14,[1]Sheet3!$A$1:$C$26,3,FALSE),0)</f>
        <v>75.65</v>
      </c>
      <c r="E14" s="11">
        <v>42.93</v>
      </c>
      <c r="F14" s="4">
        <v>5</v>
      </c>
      <c r="G14" s="4">
        <v>0.23</v>
      </c>
      <c r="H14" s="13">
        <v>0.2047</v>
      </c>
      <c r="I14" s="13">
        <v>0.5129</v>
      </c>
      <c r="J14" s="14">
        <f t="shared" si="0"/>
        <v>0.194528571428571</v>
      </c>
      <c r="K14" s="14">
        <f t="shared" si="1"/>
        <v>0.268763102725367</v>
      </c>
      <c r="L14" s="12" t="str">
        <f t="shared" si="2"/>
        <v>☕ 样本不足-继续观察</v>
      </c>
      <c r="M14" s="15">
        <v>123194</v>
      </c>
    </row>
    <row r="15" customHeight="1" spans="1:13">
      <c r="A15" s="9" t="s">
        <v>26</v>
      </c>
      <c r="B15" s="10">
        <f>IFERROR(VLOOKUP(A15,Sheet1!$A$1:$B$17,2,FALSE),0)</f>
        <v>6.5</v>
      </c>
      <c r="C15" s="11">
        <v>315</v>
      </c>
      <c r="D15" s="12">
        <f>IFERROR(VLOOKUP(M15,[1]Sheet3!$A$1:$C$26,3,FALSE),0)</f>
        <v>80.59</v>
      </c>
      <c r="E15" s="11">
        <v>43.05</v>
      </c>
      <c r="F15" s="4">
        <v>5</v>
      </c>
      <c r="G15" s="4">
        <v>0.21</v>
      </c>
      <c r="H15" s="13">
        <v>0.0652</v>
      </c>
      <c r="I15" s="13">
        <v>0.8391</v>
      </c>
      <c r="J15" s="14">
        <f t="shared" si="0"/>
        <v>0.184205714285714</v>
      </c>
      <c r="K15" s="14">
        <f t="shared" si="1"/>
        <v>0.34784668989547</v>
      </c>
      <c r="L15" s="12" t="str">
        <f t="shared" si="2"/>
        <v>☕ 样本不足-继续观察</v>
      </c>
      <c r="M15" s="15">
        <v>18658152</v>
      </c>
    </row>
    <row r="16" customHeight="1" spans="1:13">
      <c r="A16" s="9" t="s">
        <v>27</v>
      </c>
      <c r="B16" s="10">
        <f>IFERROR(VLOOKUP(A16,Sheet1!$A$1:$B$17,2,FALSE),0)</f>
        <v>9</v>
      </c>
      <c r="C16" s="11">
        <v>258</v>
      </c>
      <c r="D16" s="12">
        <f>IFERROR(VLOOKUP(M16,[1]Sheet3!$A$1:$C$26,3,FALSE),0)</f>
        <v>170.89</v>
      </c>
      <c r="E16" s="11">
        <v>60.42</v>
      </c>
      <c r="F16" s="4">
        <v>6</v>
      </c>
      <c r="G16" s="4">
        <v>0.33</v>
      </c>
      <c r="H16" s="13">
        <v>0.0627</v>
      </c>
      <c r="I16" s="13">
        <v>0.7475</v>
      </c>
      <c r="J16" s="14">
        <f t="shared" si="0"/>
        <v>0.476902325581395</v>
      </c>
      <c r="K16" s="14">
        <f t="shared" si="1"/>
        <v>1.03642502482622</v>
      </c>
      <c r="L16" s="12" t="str">
        <f t="shared" si="2"/>
        <v>✅ 状态稳定-维持现状</v>
      </c>
      <c r="M16" s="15">
        <v>18679165</v>
      </c>
    </row>
    <row r="17" customHeight="1" spans="1:13">
      <c r="A17" s="9" t="s">
        <v>28</v>
      </c>
      <c r="B17" s="10">
        <f>IFERROR(VLOOKUP(A17,Sheet1!$A$1:$B$17,2,FALSE),0)</f>
        <v>14.13</v>
      </c>
      <c r="C17" s="11">
        <v>501</v>
      </c>
      <c r="D17" s="12">
        <f>IFERROR(VLOOKUP(M17,[1]Sheet3!$A$1:$C$26,3,FALSE),0)</f>
        <v>186.89</v>
      </c>
      <c r="E17" s="11">
        <v>60.42</v>
      </c>
      <c r="F17" s="4">
        <v>5</v>
      </c>
      <c r="G17" s="4">
        <v>0.18</v>
      </c>
      <c r="H17" s="13">
        <v>0.2007</v>
      </c>
      <c r="I17" s="13">
        <v>0.4901</v>
      </c>
      <c r="J17" s="14">
        <f t="shared" si="0"/>
        <v>0.268584431137725</v>
      </c>
      <c r="K17" s="14">
        <f t="shared" si="1"/>
        <v>1.227090367428</v>
      </c>
      <c r="L17" s="12" t="str">
        <f t="shared" si="2"/>
        <v>✅ 状态稳定-维持现状</v>
      </c>
      <c r="M17" s="15">
        <v>18681160</v>
      </c>
    </row>
  </sheetData>
  <autoFilter xmlns:etc="http://www.wps.cn/officeDocument/2017/etCustomData" ref="A1:M17" etc:filterBottomFollowUsedRange="0">
    <sortState ref="A1:M17">
      <sortCondition ref="L1:L17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$1:A$1048576"/>
    </sheetView>
  </sheetViews>
  <sheetFormatPr defaultColWidth="9" defaultRowHeight="13.5" outlineLevelCol="1"/>
  <cols>
    <col min="1" max="1" width="37.75" customWidth="1"/>
  </cols>
  <sheetData>
    <row r="1" spans="1:2">
      <c r="A1" s="1" t="s">
        <v>13</v>
      </c>
      <c r="B1" s="2">
        <v>7.15</v>
      </c>
    </row>
    <row r="2" spans="1:2">
      <c r="A2" s="1" t="s">
        <v>21</v>
      </c>
      <c r="B2" s="2">
        <v>9.67</v>
      </c>
    </row>
    <row r="3" spans="1:2">
      <c r="A3" s="1" t="s">
        <v>22</v>
      </c>
      <c r="B3" s="2">
        <v>8</v>
      </c>
    </row>
    <row r="4" spans="1:2">
      <c r="A4" s="1" t="s">
        <v>14</v>
      </c>
      <c r="B4" s="2">
        <v>8</v>
      </c>
    </row>
    <row r="5" spans="1:2">
      <c r="A5" s="1" t="s">
        <v>23</v>
      </c>
      <c r="B5" s="2">
        <v>8</v>
      </c>
    </row>
    <row r="6" spans="1:2">
      <c r="A6" s="1" t="s">
        <v>24</v>
      </c>
      <c r="B6" s="2">
        <v>8.5</v>
      </c>
    </row>
    <row r="7" spans="1:2">
      <c r="A7" s="1" t="s">
        <v>27</v>
      </c>
      <c r="B7" s="2">
        <v>9</v>
      </c>
    </row>
    <row r="8" spans="1:2">
      <c r="A8" s="1" t="s">
        <v>15</v>
      </c>
      <c r="B8" s="2">
        <v>7.69</v>
      </c>
    </row>
    <row r="9" spans="1:2">
      <c r="A9" s="1" t="s">
        <v>20</v>
      </c>
      <c r="B9" s="2">
        <v>8.5</v>
      </c>
    </row>
    <row r="10" spans="1:2">
      <c r="A10" s="1" t="s">
        <v>16</v>
      </c>
      <c r="B10" s="2">
        <v>4.5</v>
      </c>
    </row>
    <row r="11" spans="1:2">
      <c r="A11" s="1" t="s">
        <v>28</v>
      </c>
      <c r="B11" s="2">
        <v>14.13</v>
      </c>
    </row>
    <row r="12" spans="1:2">
      <c r="A12" s="1" t="s">
        <v>25</v>
      </c>
      <c r="B12" s="2">
        <v>8</v>
      </c>
    </row>
    <row r="13" spans="1:2">
      <c r="A13" s="1" t="s">
        <v>26</v>
      </c>
      <c r="B13" s="2">
        <v>6.5</v>
      </c>
    </row>
    <row r="14" spans="1:2">
      <c r="A14" s="1" t="s">
        <v>17</v>
      </c>
      <c r="B14" s="2">
        <v>4</v>
      </c>
    </row>
    <row r="15" spans="1:2">
      <c r="A15" s="1" t="s">
        <v>29</v>
      </c>
      <c r="B15" s="2">
        <v>9.26</v>
      </c>
    </row>
    <row r="16" spans="1:2">
      <c r="A16" s="1" t="s">
        <v>19</v>
      </c>
      <c r="B16" s="2">
        <v>20</v>
      </c>
    </row>
    <row r="17" spans="1:2">
      <c r="A17" s="1" t="s">
        <v>18</v>
      </c>
      <c r="B17" s="2">
        <v>7.3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中共佛山市委员会办公室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人生</cp:lastModifiedBy>
  <dcterms:created xsi:type="dcterms:W3CDTF">2026-01-28T06:51:00Z</dcterms:created>
  <dcterms:modified xsi:type="dcterms:W3CDTF">2026-01-29T01:15:19Z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4600E8787DA64FE9BB87C12D6263EBDE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